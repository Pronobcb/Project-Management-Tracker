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27E927A-8DF1-43EB-A84D-AD3488BBB4E3}" xr6:coauthVersionLast="47" xr6:coauthVersionMax="47" xr10:uidLastSave="{00000000-0000-0000-0000-000000000000}"/>
  <bookViews>
    <workbookView xWindow="-110" yWindow="-110" windowWidth="19420" windowHeight="10300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3" i="2"/>
  <c r="F4" i="2"/>
  <c r="F5" i="2"/>
  <c r="F6" i="2"/>
  <c r="F7" i="2"/>
  <c r="F3" i="2"/>
  <c r="C4" i="2"/>
  <c r="C5" i="2"/>
  <c r="C3" i="2"/>
  <c r="C6" i="2" s="1"/>
  <c r="J19" i="4"/>
  <c r="J20" i="4"/>
  <c r="J21" i="4"/>
  <c r="J22" i="4"/>
  <c r="J23" i="4"/>
  <c r="J24" i="4"/>
  <c r="J25" i="4"/>
  <c r="J26" i="4"/>
  <c r="J27" i="4"/>
  <c r="J28" i="4"/>
  <c r="J29" i="4"/>
  <c r="J30" i="4"/>
  <c r="J32" i="4"/>
  <c r="J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18" i="4"/>
  <c r="K3" i="2" l="1"/>
</calcChain>
</file>

<file path=xl/sharedStrings.xml><?xml version="1.0" encoding="utf-8"?>
<sst xmlns="http://schemas.openxmlformats.org/spreadsheetml/2006/main" count="120" uniqueCount="71">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</sst>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Days&quot;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11">
    <dxf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5BBB5"/>
      <color rgb="FF6CA3B4"/>
      <color rgb="FF22577A"/>
      <color rgb="FFC7F9CC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Task by Onwer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5BBB5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0-4D9B-B2EC-283A66E038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5606927"/>
        <c:axId val="685623727"/>
      </c:barChart>
      <c:catAx>
        <c:axId val="68560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23727"/>
        <c:crosses val="autoZero"/>
        <c:auto val="1"/>
        <c:lblAlgn val="ctr"/>
        <c:lblOffset val="100"/>
        <c:noMultiLvlLbl val="0"/>
      </c:catAx>
      <c:valAx>
        <c:axId val="685623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560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Tasks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5BBB5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1-4689-BF04-49F0FE8771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43053888"/>
        <c:axId val="1943055328"/>
      </c:barChart>
      <c:catAx>
        <c:axId val="194305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055328"/>
        <c:crosses val="autoZero"/>
        <c:auto val="1"/>
        <c:lblAlgn val="ctr"/>
        <c:lblOffset val="100"/>
        <c:noMultiLvlLbl val="0"/>
      </c:catAx>
      <c:valAx>
        <c:axId val="1943055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305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65367</xdr:colOff>
      <xdr:row>3</xdr:row>
      <xdr:rowOff>93382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53659A60-3EDF-4504-84BD-6B3C8EAE767F}"/>
            </a:ext>
          </a:extLst>
        </xdr:cNvPr>
        <xdr:cNvSpPr/>
      </xdr:nvSpPr>
      <xdr:spPr>
        <a:xfrm>
          <a:off x="270809" y="205441"/>
          <a:ext cx="12242426" cy="50426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102720</xdr:colOff>
      <xdr:row>0</xdr:row>
      <xdr:rowOff>168088</xdr:rowOff>
    </xdr:from>
    <xdr:to>
      <xdr:col>6</xdr:col>
      <xdr:colOff>233456</xdr:colOff>
      <xdr:row>3</xdr:row>
      <xdr:rowOff>28014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081B5-9AD6-0DD8-4F84-59648B9F9BC5}"/>
            </a:ext>
          </a:extLst>
        </xdr:cNvPr>
        <xdr:cNvSpPr txBox="1"/>
      </xdr:nvSpPr>
      <xdr:spPr>
        <a:xfrm>
          <a:off x="373529" y="168088"/>
          <a:ext cx="574301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bg1"/>
              </a:solidFill>
            </a:rPr>
            <a:t>Task Management Tracker</a:t>
          </a:r>
        </a:p>
      </xdr:txBody>
    </xdr:sp>
    <xdr:clientData/>
  </xdr:twoCellAnchor>
  <xdr:twoCellAnchor>
    <xdr:from>
      <xdr:col>1</xdr:col>
      <xdr:colOff>18678</xdr:colOff>
      <xdr:row>3</xdr:row>
      <xdr:rowOff>186764</xdr:rowOff>
    </xdr:from>
    <xdr:to>
      <xdr:col>2</xdr:col>
      <xdr:colOff>1070910</xdr:colOff>
      <xdr:row>9</xdr:row>
      <xdr:rowOff>69773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A7EB4942-11E0-4208-9340-BA51DEF49383}"/>
            </a:ext>
          </a:extLst>
        </xdr:cNvPr>
        <xdr:cNvSpPr/>
      </xdr:nvSpPr>
      <xdr:spPr>
        <a:xfrm>
          <a:off x="289487" y="803088"/>
          <a:ext cx="1687232" cy="11156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21666</xdr:colOff>
      <xdr:row>10</xdr:row>
      <xdr:rowOff>40340</xdr:rowOff>
    </xdr:from>
    <xdr:to>
      <xdr:col>2</xdr:col>
      <xdr:colOff>1073898</xdr:colOff>
      <xdr:row>15</xdr:row>
      <xdr:rowOff>128790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649AFB88-1D9C-4A18-B371-C9FE9806BEA3}"/>
            </a:ext>
          </a:extLst>
        </xdr:cNvPr>
        <xdr:cNvSpPr/>
      </xdr:nvSpPr>
      <xdr:spPr>
        <a:xfrm>
          <a:off x="292475" y="2094752"/>
          <a:ext cx="1687232" cy="11156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1179607</xdr:colOff>
      <xdr:row>3</xdr:row>
      <xdr:rowOff>199091</xdr:rowOff>
    </xdr:from>
    <xdr:to>
      <xdr:col>3</xdr:col>
      <xdr:colOff>672354</xdr:colOff>
      <xdr:row>9</xdr:row>
      <xdr:rowOff>82100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72519657-5017-40A2-8870-23BE1C4D833C}"/>
            </a:ext>
          </a:extLst>
        </xdr:cNvPr>
        <xdr:cNvSpPr/>
      </xdr:nvSpPr>
      <xdr:spPr>
        <a:xfrm>
          <a:off x="2085416" y="815415"/>
          <a:ext cx="1687232" cy="11156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1182596</xdr:colOff>
      <xdr:row>10</xdr:row>
      <xdr:rowOff>62005</xdr:rowOff>
    </xdr:from>
    <xdr:to>
      <xdr:col>3</xdr:col>
      <xdr:colOff>675343</xdr:colOff>
      <xdr:row>15</xdr:row>
      <xdr:rowOff>150455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2B1A71D7-B6AB-4599-A384-3255BEA20B86}"/>
            </a:ext>
          </a:extLst>
        </xdr:cNvPr>
        <xdr:cNvSpPr/>
      </xdr:nvSpPr>
      <xdr:spPr>
        <a:xfrm>
          <a:off x="2088405" y="2116417"/>
          <a:ext cx="1687232" cy="11156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781051</xdr:colOff>
      <xdr:row>4</xdr:row>
      <xdr:rowOff>21897</xdr:rowOff>
    </xdr:from>
    <xdr:to>
      <xdr:col>7</xdr:col>
      <xdr:colOff>513602</xdr:colOff>
      <xdr:row>15</xdr:row>
      <xdr:rowOff>186763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F87AC3E0-859F-46B5-8D59-810F9808E21B}"/>
            </a:ext>
          </a:extLst>
        </xdr:cNvPr>
        <xdr:cNvSpPr/>
      </xdr:nvSpPr>
      <xdr:spPr>
        <a:xfrm>
          <a:off x="3879413" y="853966"/>
          <a:ext cx="3378327" cy="2453056"/>
        </a:xfrm>
        <a:prstGeom prst="roundRect">
          <a:avLst>
            <a:gd name="adj" fmla="val 10985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587936</xdr:colOff>
      <xdr:row>4</xdr:row>
      <xdr:rowOff>18302</xdr:rowOff>
    </xdr:from>
    <xdr:to>
      <xdr:col>10</xdr:col>
      <xdr:colOff>1142253</xdr:colOff>
      <xdr:row>15</xdr:row>
      <xdr:rowOff>208428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B9135E93-EB53-475E-950E-1B1779AF4EBF}"/>
            </a:ext>
          </a:extLst>
        </xdr:cNvPr>
        <xdr:cNvSpPr/>
      </xdr:nvSpPr>
      <xdr:spPr>
        <a:xfrm>
          <a:off x="7320804" y="840067"/>
          <a:ext cx="3365125" cy="2449979"/>
        </a:xfrm>
        <a:prstGeom prst="roundRect">
          <a:avLst>
            <a:gd name="adj" fmla="val 10985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1285317</xdr:colOff>
      <xdr:row>4</xdr:row>
      <xdr:rowOff>9338</xdr:rowOff>
    </xdr:from>
    <xdr:to>
      <xdr:col>11</xdr:col>
      <xdr:colOff>68357</xdr:colOff>
      <xdr:row>15</xdr:row>
      <xdr:rowOff>205441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AEDC3AD5-14EB-44AF-BA7C-5CF5DABC5C36}"/>
            </a:ext>
          </a:extLst>
        </xdr:cNvPr>
        <xdr:cNvSpPr/>
      </xdr:nvSpPr>
      <xdr:spPr>
        <a:xfrm>
          <a:off x="10828993" y="831103"/>
          <a:ext cx="1687232" cy="24559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289486</xdr:colOff>
      <xdr:row>4</xdr:row>
      <xdr:rowOff>18675</xdr:rowOff>
    </xdr:from>
    <xdr:to>
      <xdr:col>2</xdr:col>
      <xdr:colOff>905809</xdr:colOff>
      <xdr:row>5</xdr:row>
      <xdr:rowOff>140074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F2372C4-0158-9EF0-4D18-911CDAAF232F}"/>
            </a:ext>
          </a:extLst>
        </xdr:cNvPr>
        <xdr:cNvSpPr txBox="1"/>
      </xdr:nvSpPr>
      <xdr:spPr>
        <a:xfrm>
          <a:off x="560295" y="840440"/>
          <a:ext cx="1251323" cy="326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Completed</a:t>
          </a:r>
        </a:p>
      </xdr:txBody>
    </xdr:sp>
    <xdr:clientData/>
  </xdr:twoCellAnchor>
  <xdr:twoCellAnchor>
    <xdr:from>
      <xdr:col>1</xdr:col>
      <xdr:colOff>311150</xdr:colOff>
      <xdr:row>10</xdr:row>
      <xdr:rowOff>68353</xdr:rowOff>
    </xdr:from>
    <xdr:to>
      <xdr:col>2</xdr:col>
      <xdr:colOff>915147</xdr:colOff>
      <xdr:row>12</xdr:row>
      <xdr:rowOff>18676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62CDDA9-E8E9-43DE-88E6-32B817B8DA8C}"/>
            </a:ext>
          </a:extLst>
        </xdr:cNvPr>
        <xdr:cNvSpPr txBox="1"/>
      </xdr:nvSpPr>
      <xdr:spPr>
        <a:xfrm>
          <a:off x="581959" y="2122765"/>
          <a:ext cx="1238997" cy="361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Not</a:t>
          </a:r>
          <a:r>
            <a:rPr lang="en-US" sz="1600" b="1" baseline="0">
              <a:solidFill>
                <a:schemeClr val="bg1"/>
              </a:solidFill>
            </a:rPr>
            <a:t> Started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1425388</xdr:colOff>
      <xdr:row>3</xdr:row>
      <xdr:rowOff>202077</xdr:rowOff>
    </xdr:from>
    <xdr:to>
      <xdr:col>3</xdr:col>
      <xdr:colOff>482226</xdr:colOff>
      <xdr:row>5</xdr:row>
      <xdr:rowOff>118035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5711E84-4DD0-4CD6-AC77-DDC9500CA055}"/>
            </a:ext>
          </a:extLst>
        </xdr:cNvPr>
        <xdr:cNvSpPr txBox="1"/>
      </xdr:nvSpPr>
      <xdr:spPr>
        <a:xfrm>
          <a:off x="2331197" y="818401"/>
          <a:ext cx="1251323" cy="326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In</a:t>
          </a:r>
          <a:r>
            <a:rPr lang="en-US" sz="1800" b="1" baseline="0">
              <a:solidFill>
                <a:schemeClr val="bg1"/>
              </a:solidFill>
            </a:rPr>
            <a:t> Progress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1428376</xdr:colOff>
      <xdr:row>10</xdr:row>
      <xdr:rowOff>46316</xdr:rowOff>
    </xdr:from>
    <xdr:to>
      <xdr:col>3</xdr:col>
      <xdr:colOff>485214</xdr:colOff>
      <xdr:row>11</xdr:row>
      <xdr:rowOff>167715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2B283CC-3906-4DA1-9A48-025FBE5633EB}"/>
            </a:ext>
          </a:extLst>
        </xdr:cNvPr>
        <xdr:cNvSpPr txBox="1"/>
      </xdr:nvSpPr>
      <xdr:spPr>
        <a:xfrm>
          <a:off x="2334185" y="2100728"/>
          <a:ext cx="1251323" cy="326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Total</a:t>
          </a:r>
        </a:p>
      </xdr:txBody>
    </xdr:sp>
    <xdr:clientData/>
  </xdr:twoCellAnchor>
  <xdr:twoCellAnchor>
    <xdr:from>
      <xdr:col>1</xdr:col>
      <xdr:colOff>625661</xdr:colOff>
      <xdr:row>4</xdr:row>
      <xdr:rowOff>112059</xdr:rowOff>
    </xdr:from>
    <xdr:to>
      <xdr:col>2</xdr:col>
      <xdr:colOff>890120</xdr:colOff>
      <xdr:row>9</xdr:row>
      <xdr:rowOff>18676</xdr:rowOff>
    </xdr:to>
    <xdr:sp macro="" textlink="'Support Sheet'!C3">
      <xdr:nvSpPr>
        <xdr:cNvPr id="17" name="TextBox 16">
          <a:extLst>
            <a:ext uri="{FF2B5EF4-FFF2-40B4-BE49-F238E27FC236}">
              <a16:creationId xmlns:a16="http://schemas.microsoft.com/office/drawing/2014/main" id="{331B5F01-6F66-4377-A9DB-B65C2888D7A5}"/>
            </a:ext>
          </a:extLst>
        </xdr:cNvPr>
        <xdr:cNvSpPr txBox="1"/>
      </xdr:nvSpPr>
      <xdr:spPr>
        <a:xfrm>
          <a:off x="896470" y="933824"/>
          <a:ext cx="899459" cy="933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C01039A-4905-4E46-901A-90BDB53AEEDD}" type="TxLink">
            <a:rPr lang="en-US" sz="6600" b="0" i="0" u="none" strike="noStrike">
              <a:solidFill>
                <a:schemeClr val="bg1"/>
              </a:solidFill>
              <a:latin typeface="Aptos Narrow"/>
            </a:rPr>
            <a:pPr/>
            <a:t>8</a:t>
          </a:fld>
          <a:endParaRPr lang="en-US" sz="8800" b="0" i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563282</xdr:colOff>
      <xdr:row>10</xdr:row>
      <xdr:rowOff>189753</xdr:rowOff>
    </xdr:from>
    <xdr:to>
      <xdr:col>2</xdr:col>
      <xdr:colOff>827741</xdr:colOff>
      <xdr:row>15</xdr:row>
      <xdr:rowOff>96370</xdr:rowOff>
    </xdr:to>
    <xdr:sp macro="" textlink="'Support Sheet'!C5">
      <xdr:nvSpPr>
        <xdr:cNvPr id="18" name="TextBox 17">
          <a:extLst>
            <a:ext uri="{FF2B5EF4-FFF2-40B4-BE49-F238E27FC236}">
              <a16:creationId xmlns:a16="http://schemas.microsoft.com/office/drawing/2014/main" id="{6CC1D059-DC29-4656-8F55-6CAB226E3160}"/>
            </a:ext>
          </a:extLst>
        </xdr:cNvPr>
        <xdr:cNvSpPr txBox="1"/>
      </xdr:nvSpPr>
      <xdr:spPr>
        <a:xfrm>
          <a:off x="834091" y="2244165"/>
          <a:ext cx="899459" cy="933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1BAC234-BE61-41C4-B251-6D5669A45793}" type="TxLink">
            <a:rPr lang="en-US" sz="6600" b="0" i="0" u="none" strike="noStrike">
              <a:solidFill>
                <a:schemeClr val="bg1"/>
              </a:solidFill>
              <a:latin typeface="Aptos Narrow"/>
            </a:rPr>
            <a:pPr/>
            <a:t>2</a:t>
          </a:fld>
          <a:endParaRPr lang="en-US" sz="102800" b="0" i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1742888</xdr:colOff>
      <xdr:row>4</xdr:row>
      <xdr:rowOff>146050</xdr:rowOff>
    </xdr:from>
    <xdr:to>
      <xdr:col>3</xdr:col>
      <xdr:colOff>447862</xdr:colOff>
      <xdr:row>9</xdr:row>
      <xdr:rowOff>52667</xdr:rowOff>
    </xdr:to>
    <xdr:sp macro="" textlink="'Support Sheet'!C4">
      <xdr:nvSpPr>
        <xdr:cNvPr id="19" name="TextBox 18">
          <a:extLst>
            <a:ext uri="{FF2B5EF4-FFF2-40B4-BE49-F238E27FC236}">
              <a16:creationId xmlns:a16="http://schemas.microsoft.com/office/drawing/2014/main" id="{247AD9E3-B57B-42DA-9D9A-3B02D527F257}"/>
            </a:ext>
          </a:extLst>
        </xdr:cNvPr>
        <xdr:cNvSpPr txBox="1"/>
      </xdr:nvSpPr>
      <xdr:spPr>
        <a:xfrm>
          <a:off x="2648697" y="967815"/>
          <a:ext cx="899459" cy="933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845EF15-3177-4E1E-A2E5-E6704B7FCB48}" type="TxLink">
            <a:rPr lang="en-US" sz="6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5</a:t>
          </a:fld>
          <a:endParaRPr lang="en-US" sz="6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1475067</xdr:colOff>
      <xdr:row>10</xdr:row>
      <xdr:rowOff>205068</xdr:rowOff>
    </xdr:from>
    <xdr:to>
      <xdr:col>3</xdr:col>
      <xdr:colOff>382868</xdr:colOff>
      <xdr:row>15</xdr:row>
      <xdr:rowOff>111685</xdr:rowOff>
    </xdr:to>
    <xdr:sp macro="" textlink="'Support Sheet'!C6">
      <xdr:nvSpPr>
        <xdr:cNvPr id="20" name="TextBox 19">
          <a:extLst>
            <a:ext uri="{FF2B5EF4-FFF2-40B4-BE49-F238E27FC236}">
              <a16:creationId xmlns:a16="http://schemas.microsoft.com/office/drawing/2014/main" id="{5845DCF5-2A4A-4791-A8D6-BE4614DFD2C8}"/>
            </a:ext>
          </a:extLst>
        </xdr:cNvPr>
        <xdr:cNvSpPr txBox="1"/>
      </xdr:nvSpPr>
      <xdr:spPr>
        <a:xfrm>
          <a:off x="2380876" y="2259480"/>
          <a:ext cx="1102286" cy="933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6AF90B8-9528-429E-BD2F-9E60E19ED532}" type="TxLink">
            <a:rPr lang="en-US" sz="6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15</a:t>
          </a:fld>
          <a:endParaRPr lang="en-US" sz="6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1736913</xdr:colOff>
      <xdr:row>6</xdr:row>
      <xdr:rowOff>102347</xdr:rowOff>
    </xdr:from>
    <xdr:to>
      <xdr:col>10</xdr:col>
      <xdr:colOff>2701366</xdr:colOff>
      <xdr:row>15</xdr:row>
      <xdr:rowOff>74705</xdr:rowOff>
    </xdr:to>
    <xdr:sp macro="" textlink="'Support Sheet'!K3">
      <xdr:nvSpPr>
        <xdr:cNvPr id="21" name="TextBox 20">
          <a:extLst>
            <a:ext uri="{FF2B5EF4-FFF2-40B4-BE49-F238E27FC236}">
              <a16:creationId xmlns:a16="http://schemas.microsoft.com/office/drawing/2014/main" id="{270A3729-29AB-4F15-9C9C-3448220F7467}"/>
            </a:ext>
          </a:extLst>
        </xdr:cNvPr>
        <xdr:cNvSpPr txBox="1"/>
      </xdr:nvSpPr>
      <xdr:spPr>
        <a:xfrm>
          <a:off x="11280589" y="1334994"/>
          <a:ext cx="964453" cy="18213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B825DC0-31AF-4FF4-851A-CC5F4CB3AA6F}" type="TxLink">
            <a:rPr lang="en-US" sz="1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7</a:t>
          </a:fld>
          <a:endParaRPr lang="en-US" sz="148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1522133</xdr:colOff>
      <xdr:row>5</xdr:row>
      <xdr:rowOff>28015</xdr:rowOff>
    </xdr:from>
    <xdr:to>
      <xdr:col>10</xdr:col>
      <xdr:colOff>2857500</xdr:colOff>
      <xdr:row>7</xdr:row>
      <xdr:rowOff>177427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A81EACF-1FC3-7470-5DDB-8BEC47A5B99A}"/>
            </a:ext>
          </a:extLst>
        </xdr:cNvPr>
        <xdr:cNvSpPr txBox="1"/>
      </xdr:nvSpPr>
      <xdr:spPr>
        <a:xfrm>
          <a:off x="11065809" y="1055221"/>
          <a:ext cx="1335367" cy="560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bg1"/>
              </a:solidFill>
            </a:rPr>
            <a:t>Overdue</a:t>
          </a:r>
        </a:p>
      </xdr:txBody>
    </xdr:sp>
    <xdr:clientData/>
  </xdr:twoCellAnchor>
  <xdr:twoCellAnchor>
    <xdr:from>
      <xdr:col>3</xdr:col>
      <xdr:colOff>803089</xdr:colOff>
      <xdr:row>3</xdr:row>
      <xdr:rowOff>142327</xdr:rowOff>
    </xdr:from>
    <xdr:to>
      <xdr:col>7</xdr:col>
      <xdr:colOff>700367</xdr:colOff>
      <xdr:row>15</xdr:row>
      <xdr:rowOff>186120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17674-91F8-4CE1-8ED0-33B19CEC8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569633</xdr:colOff>
      <xdr:row>3</xdr:row>
      <xdr:rowOff>153276</xdr:rowOff>
    </xdr:from>
    <xdr:to>
      <xdr:col>10</xdr:col>
      <xdr:colOff>1522134</xdr:colOff>
      <xdr:row>15</xdr:row>
      <xdr:rowOff>177426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1A335B5-1AD8-41EB-A04D-0F2A45DA4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52D49-7F14-494F-B3E2-DB5C99264FBC}" name="Table1" displayName="Table1" ref="B17:K33" totalsRowShown="0" headerRowDxfId="10" headerRowCellStyle="Normal 2">
  <autoFilter ref="B17:K33" xr:uid="{85552D49-7F14-494F-B3E2-DB5C99264FBC}"/>
  <tableColumns count="10">
    <tableColumn id="1" xr3:uid="{7842D0F9-E17E-4DD2-AFCD-A2D9786FF451}" name="Task ID" dataDxfId="9"/>
    <tableColumn id="2" xr3:uid="{FEA952D3-5621-47E9-B957-2FC9BABB7201}" name="Task Name"/>
    <tableColumn id="3" xr3:uid="{325BD16F-7C36-471D-8E36-24979E92E5CE}" name="Team"/>
    <tableColumn id="4" xr3:uid="{E2B46A33-603B-4DD3-928D-4C1BEB54BDE7}" name="Task Owner"/>
    <tableColumn id="5" xr3:uid="{DE251DDF-4475-402D-976A-873826AA1DAF}" name="Start Date" dataDxfId="8"/>
    <tableColumn id="6" xr3:uid="{C26521CA-55DA-49B8-9532-E06F17ED6A9A}" name="Due Date" dataDxfId="7"/>
    <tableColumn id="7" xr3:uid="{1CC9EA78-073C-4ABD-87A1-65733FB44F6C}" name="Task Duration" dataDxfId="6">
      <calculatedColumnFormula>Table1[[#This Row],[Due Date]]-Table1[[#This Row],[Start Date]]</calculatedColumnFormula>
    </tableColumn>
    <tableColumn id="8" xr3:uid="{EC44A180-6918-4641-9D13-8B30A0ED9581}" name="Status" dataDxfId="5"/>
    <tableColumn id="9" xr3:uid="{161B8422-7708-4BC1-B035-BD0FC6AE64E2}" name="Overdue?" dataDxfId="4">
      <calculatedColumnFormula>AND(Table1[[#This Row],[Status]]&lt;&gt;"Completed",Table1[[#This Row],[Due Date]]&lt;TODAY())</calculatedColumnFormula>
    </tableColumn>
    <tableColumn id="10" xr3:uid="{7D521B05-F5ED-48EB-A4D4-A6494A9D1FFC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6:K33"/>
  <sheetViews>
    <sheetView showGridLines="0" tabSelected="1" zoomScale="50" zoomScaleNormal="100" workbookViewId="0">
      <pane ySplit="17" topLeftCell="A18" activePane="bottomLeft" state="frozen"/>
      <selection pane="bottomLeft" activeCell="Q8" sqref="Q8"/>
    </sheetView>
  </sheetViews>
  <sheetFormatPr defaultColWidth="11.1640625" defaultRowHeight="16" x14ac:dyDescent="0.4"/>
  <cols>
    <col min="1" max="1" width="3.5" customWidth="1"/>
    <col min="2" max="2" width="8.33203125" style="1" customWidth="1"/>
    <col min="3" max="3" width="28.83203125" customWidth="1"/>
    <col min="5" max="5" width="14.1640625" bestFit="1" customWidth="1"/>
    <col min="8" max="8" width="13.33203125" customWidth="1"/>
    <col min="9" max="9" width="12.4140625" style="1" customWidth="1"/>
    <col min="11" max="11" width="38.1640625" customWidth="1"/>
  </cols>
  <sheetData>
    <row r="16" ht="24" customHeight="1" x14ac:dyDescent="0.4"/>
    <row r="17" spans="2:11" x14ac:dyDescent="0.4">
      <c r="B17" s="4" t="s">
        <v>1</v>
      </c>
      <c r="C17" s="4" t="s">
        <v>0</v>
      </c>
      <c r="D17" s="4" t="s">
        <v>70</v>
      </c>
      <c r="E17" s="4" t="s">
        <v>6</v>
      </c>
      <c r="F17" s="4" t="s">
        <v>2</v>
      </c>
      <c r="G17" s="4" t="s">
        <v>3</v>
      </c>
      <c r="H17" s="4" t="s">
        <v>11</v>
      </c>
      <c r="I17" s="4" t="s">
        <v>4</v>
      </c>
      <c r="J17" s="4" t="s">
        <v>5</v>
      </c>
      <c r="K17" s="4" t="s">
        <v>7</v>
      </c>
    </row>
    <row r="18" spans="2:11" x14ac:dyDescent="0.4">
      <c r="B18" s="1" t="s">
        <v>13</v>
      </c>
      <c r="C18" t="s">
        <v>14</v>
      </c>
      <c r="D18" t="s">
        <v>65</v>
      </c>
      <c r="E18" t="s">
        <v>15</v>
      </c>
      <c r="F18" s="2">
        <v>45902</v>
      </c>
      <c r="G18" s="2">
        <v>45920</v>
      </c>
      <c r="H18" s="6">
        <f>Table1[[#This Row],[Due Date]]-Table1[[#This Row],[Start Date]]</f>
        <v>18</v>
      </c>
      <c r="I18" s="1" t="s">
        <v>16</v>
      </c>
      <c r="J18" s="1" t="b">
        <f ca="1">AND(Table1[[#This Row],[Status]]&lt;&gt;"Completed",Table1[[#This Row],[Due Date]]&lt;TODAY())</f>
        <v>0</v>
      </c>
      <c r="K18" t="s">
        <v>17</v>
      </c>
    </row>
    <row r="19" spans="2:11" x14ac:dyDescent="0.4">
      <c r="B19" s="1" t="s">
        <v>18</v>
      </c>
      <c r="C19" t="s">
        <v>62</v>
      </c>
      <c r="D19" t="s">
        <v>57</v>
      </c>
      <c r="E19" t="s">
        <v>15</v>
      </c>
      <c r="F19" s="2">
        <v>45905</v>
      </c>
      <c r="G19" s="2">
        <v>45925</v>
      </c>
      <c r="H19" s="6">
        <f>Table1[[#This Row],[Due Date]]-Table1[[#This Row],[Start Date]]</f>
        <v>20</v>
      </c>
      <c r="I19" s="1" t="s">
        <v>16</v>
      </c>
      <c r="J19" s="1" t="b">
        <f ca="1">AND(Table1[[#This Row],[Status]]&lt;&gt;"Completed",Table1[[#This Row],[Due Date]]&lt;TODAY())</f>
        <v>0</v>
      </c>
      <c r="K19" t="s">
        <v>20</v>
      </c>
    </row>
    <row r="20" spans="2:11" x14ac:dyDescent="0.4">
      <c r="B20" s="1" t="s">
        <v>21</v>
      </c>
      <c r="C20" t="s">
        <v>22</v>
      </c>
      <c r="D20" t="s">
        <v>57</v>
      </c>
      <c r="E20" t="s">
        <v>19</v>
      </c>
      <c r="F20" s="2">
        <v>45848</v>
      </c>
      <c r="G20" s="2">
        <v>45874</v>
      </c>
      <c r="H20" s="6">
        <f>Table1[[#This Row],[Due Date]]-Table1[[#This Row],[Start Date]]</f>
        <v>26</v>
      </c>
      <c r="I20" s="1" t="s">
        <v>8</v>
      </c>
      <c r="J20" s="1" t="b">
        <f ca="1">AND(Table1[[#This Row],[Status]]&lt;&gt;"Completed",Table1[[#This Row],[Due Date]]&lt;TODAY())</f>
        <v>1</v>
      </c>
      <c r="K20" t="s">
        <v>23</v>
      </c>
    </row>
    <row r="21" spans="2:11" x14ac:dyDescent="0.4">
      <c r="B21" s="1" t="s">
        <v>24</v>
      </c>
      <c r="C21" t="s">
        <v>25</v>
      </c>
      <c r="D21" t="s">
        <v>65</v>
      </c>
      <c r="E21" t="s">
        <v>15</v>
      </c>
      <c r="F21" s="2">
        <v>45912</v>
      </c>
      <c r="G21" s="2">
        <v>45930</v>
      </c>
      <c r="H21" s="6">
        <f>Table1[[#This Row],[Due Date]]-Table1[[#This Row],[Start Date]]</f>
        <v>18</v>
      </c>
      <c r="I21" s="1" t="s">
        <v>16</v>
      </c>
      <c r="J21" s="1" t="b">
        <f ca="1">AND(Table1[[#This Row],[Status]]&lt;&gt;"Completed",Table1[[#This Row],[Due Date]]&lt;TODAY())</f>
        <v>0</v>
      </c>
      <c r="K21" t="s">
        <v>27</v>
      </c>
    </row>
    <row r="22" spans="2:11" x14ac:dyDescent="0.4">
      <c r="B22" s="1" t="s">
        <v>28</v>
      </c>
      <c r="C22" t="s">
        <v>29</v>
      </c>
      <c r="D22" t="s">
        <v>57</v>
      </c>
      <c r="E22" t="s">
        <v>26</v>
      </c>
      <c r="F22" s="2">
        <v>45915</v>
      </c>
      <c r="G22" s="2">
        <v>45940</v>
      </c>
      <c r="H22" s="6">
        <f>Table1[[#This Row],[Due Date]]-Table1[[#This Row],[Start Date]]</f>
        <v>25</v>
      </c>
      <c r="I22" s="1" t="s">
        <v>8</v>
      </c>
      <c r="J22" s="1" t="b">
        <f ca="1">AND(Table1[[#This Row],[Status]]&lt;&gt;"Completed",Table1[[#This Row],[Due Date]]&lt;TODAY())</f>
        <v>1</v>
      </c>
      <c r="K22" t="s">
        <v>31</v>
      </c>
    </row>
    <row r="23" spans="2:11" x14ac:dyDescent="0.4">
      <c r="B23" s="1" t="s">
        <v>32</v>
      </c>
      <c r="C23" t="s">
        <v>33</v>
      </c>
      <c r="D23" t="s">
        <v>66</v>
      </c>
      <c r="E23" t="s">
        <v>19</v>
      </c>
      <c r="F23" s="2">
        <v>45918</v>
      </c>
      <c r="G23" s="2">
        <v>45945</v>
      </c>
      <c r="H23" s="6">
        <f>Table1[[#This Row],[Due Date]]-Table1[[#This Row],[Start Date]]</f>
        <v>27</v>
      </c>
      <c r="I23" s="1" t="s">
        <v>16</v>
      </c>
      <c r="J23" s="1" t="b">
        <f ca="1">AND(Table1[[#This Row],[Status]]&lt;&gt;"Completed",Table1[[#This Row],[Due Date]]&lt;TODAY())</f>
        <v>0</v>
      </c>
      <c r="K23" t="s">
        <v>35</v>
      </c>
    </row>
    <row r="24" spans="2:11" x14ac:dyDescent="0.4">
      <c r="B24" s="1" t="s">
        <v>36</v>
      </c>
      <c r="C24" t="s">
        <v>63</v>
      </c>
      <c r="D24" t="s">
        <v>66</v>
      </c>
      <c r="E24" t="s">
        <v>30</v>
      </c>
      <c r="F24" s="2">
        <v>45889</v>
      </c>
      <c r="G24" s="2">
        <v>45896</v>
      </c>
      <c r="H24" s="6">
        <f>Table1[[#This Row],[Due Date]]-Table1[[#This Row],[Start Date]]</f>
        <v>7</v>
      </c>
      <c r="I24" s="1" t="s">
        <v>9</v>
      </c>
      <c r="J24" s="1" t="b">
        <f ca="1">AND(Table1[[#This Row],[Status]]&lt;&gt;"Completed",Table1[[#This Row],[Due Date]]&lt;TODAY())</f>
        <v>1</v>
      </c>
      <c r="K24" t="s">
        <v>37</v>
      </c>
    </row>
    <row r="25" spans="2:11" x14ac:dyDescent="0.4">
      <c r="B25" s="1" t="s">
        <v>38</v>
      </c>
      <c r="C25" t="s">
        <v>39</v>
      </c>
      <c r="D25" t="s">
        <v>40</v>
      </c>
      <c r="E25" t="s">
        <v>30</v>
      </c>
      <c r="F25" s="2">
        <v>45922</v>
      </c>
      <c r="G25" s="2">
        <v>45942</v>
      </c>
      <c r="H25" s="6">
        <f>Table1[[#This Row],[Due Date]]-Table1[[#This Row],[Start Date]]</f>
        <v>20</v>
      </c>
      <c r="I25" s="1" t="s">
        <v>8</v>
      </c>
      <c r="J25" s="1" t="b">
        <f ca="1">AND(Table1[[#This Row],[Status]]&lt;&gt;"Completed",Table1[[#This Row],[Due Date]]&lt;TODAY())</f>
        <v>1</v>
      </c>
      <c r="K25" t="s">
        <v>41</v>
      </c>
    </row>
    <row r="26" spans="2:11" x14ac:dyDescent="0.4">
      <c r="B26" s="1" t="s">
        <v>42</v>
      </c>
      <c r="C26" t="s">
        <v>43</v>
      </c>
      <c r="D26" t="s">
        <v>66</v>
      </c>
      <c r="E26" t="s">
        <v>15</v>
      </c>
      <c r="F26" s="2">
        <v>45923</v>
      </c>
      <c r="G26" s="2">
        <v>45950</v>
      </c>
      <c r="H26" s="6">
        <f>Table1[[#This Row],[Due Date]]-Table1[[#This Row],[Start Date]]</f>
        <v>27</v>
      </c>
      <c r="I26" s="1" t="s">
        <v>16</v>
      </c>
      <c r="J26" s="1" t="b">
        <f ca="1">AND(Table1[[#This Row],[Status]]&lt;&gt;"Completed",Table1[[#This Row],[Due Date]]&lt;TODAY())</f>
        <v>0</v>
      </c>
      <c r="K26" t="s">
        <v>44</v>
      </c>
    </row>
    <row r="27" spans="2:11" x14ac:dyDescent="0.4">
      <c r="B27" s="1" t="s">
        <v>45</v>
      </c>
      <c r="C27" t="s">
        <v>64</v>
      </c>
      <c r="D27" t="s">
        <v>66</v>
      </c>
      <c r="E27" t="s">
        <v>15</v>
      </c>
      <c r="F27" s="2">
        <v>45924</v>
      </c>
      <c r="G27" s="2">
        <v>45935</v>
      </c>
      <c r="H27" s="6">
        <f>Table1[[#This Row],[Due Date]]-Table1[[#This Row],[Start Date]]</f>
        <v>11</v>
      </c>
      <c r="I27" s="1" t="s">
        <v>8</v>
      </c>
      <c r="J27" s="1" t="b">
        <f ca="1">AND(Table1[[#This Row],[Status]]&lt;&gt;"Completed",Table1[[#This Row],[Due Date]]&lt;TODAY())</f>
        <v>1</v>
      </c>
      <c r="K27" t="s">
        <v>46</v>
      </c>
    </row>
    <row r="28" spans="2:11" x14ac:dyDescent="0.4">
      <c r="B28" s="1" t="s">
        <v>47</v>
      </c>
      <c r="C28" t="s">
        <v>48</v>
      </c>
      <c r="D28" t="s">
        <v>65</v>
      </c>
      <c r="E28" t="s">
        <v>19</v>
      </c>
      <c r="F28" s="2">
        <v>45925</v>
      </c>
      <c r="G28" s="2">
        <v>45932</v>
      </c>
      <c r="H28" s="6">
        <f>Table1[[#This Row],[Due Date]]-Table1[[#This Row],[Start Date]]</f>
        <v>7</v>
      </c>
      <c r="I28" s="1" t="s">
        <v>16</v>
      </c>
      <c r="J28" s="1" t="b">
        <f ca="1">AND(Table1[[#This Row],[Status]]&lt;&gt;"Completed",Table1[[#This Row],[Due Date]]&lt;TODAY())</f>
        <v>0</v>
      </c>
      <c r="K28" t="s">
        <v>49</v>
      </c>
    </row>
    <row r="29" spans="2:11" x14ac:dyDescent="0.4">
      <c r="B29" s="1" t="s">
        <v>50</v>
      </c>
      <c r="C29" t="s">
        <v>67</v>
      </c>
      <c r="D29" s="3" t="s">
        <v>57</v>
      </c>
      <c r="E29" t="s">
        <v>15</v>
      </c>
      <c r="F29" s="2">
        <v>45926</v>
      </c>
      <c r="G29" s="2">
        <v>45960</v>
      </c>
      <c r="H29" s="6">
        <f>Table1[[#This Row],[Due Date]]-Table1[[#This Row],[Start Date]]</f>
        <v>34</v>
      </c>
      <c r="I29" s="1" t="s">
        <v>16</v>
      </c>
      <c r="J29" s="1" t="b">
        <f ca="1">AND(Table1[[#This Row],[Status]]&lt;&gt;"Completed",Table1[[#This Row],[Due Date]]&lt;TODAY())</f>
        <v>0</v>
      </c>
      <c r="K29" t="s">
        <v>51</v>
      </c>
    </row>
    <row r="30" spans="2:11" x14ac:dyDescent="0.4">
      <c r="B30" s="1" t="s">
        <v>52</v>
      </c>
      <c r="C30" t="s">
        <v>53</v>
      </c>
      <c r="D30" s="3" t="s">
        <v>57</v>
      </c>
      <c r="E30" t="s">
        <v>34</v>
      </c>
      <c r="F30" s="2">
        <v>45927</v>
      </c>
      <c r="G30" s="2">
        <v>45937</v>
      </c>
      <c r="H30" s="6">
        <f>Table1[[#This Row],[Due Date]]-Table1[[#This Row],[Start Date]]</f>
        <v>10</v>
      </c>
      <c r="I30" s="1" t="s">
        <v>8</v>
      </c>
      <c r="J30" s="1" t="b">
        <f ca="1">AND(Table1[[#This Row],[Status]]&lt;&gt;"Completed",Table1[[#This Row],[Due Date]]&lt;TODAY())</f>
        <v>1</v>
      </c>
      <c r="K30" t="s">
        <v>54</v>
      </c>
    </row>
    <row r="31" spans="2:11" x14ac:dyDescent="0.4">
      <c r="B31" s="1" t="s">
        <v>55</v>
      </c>
      <c r="C31" t="s">
        <v>56</v>
      </c>
      <c r="D31" t="s">
        <v>57</v>
      </c>
      <c r="E31" t="s">
        <v>34</v>
      </c>
      <c r="F31" s="2">
        <v>45928</v>
      </c>
      <c r="G31" s="2">
        <v>45948</v>
      </c>
      <c r="H31" s="6">
        <f>Table1[[#This Row],[Due Date]]-Table1[[#This Row],[Start Date]]</f>
        <v>20</v>
      </c>
      <c r="I31" s="1" t="s">
        <v>16</v>
      </c>
      <c r="J31" s="1" t="b">
        <v>0</v>
      </c>
      <c r="K31" t="s">
        <v>58</v>
      </c>
    </row>
    <row r="32" spans="2:11" x14ac:dyDescent="0.4">
      <c r="B32" s="1" t="s">
        <v>59</v>
      </c>
      <c r="C32" t="s">
        <v>60</v>
      </c>
      <c r="D32" t="s">
        <v>65</v>
      </c>
      <c r="E32" t="s">
        <v>34</v>
      </c>
      <c r="F32" s="2">
        <v>45929</v>
      </c>
      <c r="G32" s="2">
        <v>45934</v>
      </c>
      <c r="H32" s="6">
        <f>Table1[[#This Row],[Due Date]]-Table1[[#This Row],[Start Date]]</f>
        <v>5</v>
      </c>
      <c r="I32" s="1" t="s">
        <v>9</v>
      </c>
      <c r="J32" s="1" t="b">
        <f ca="1">AND(Table1[[#This Row],[Status]]&lt;&gt;"Completed",Table1[[#This Row],[Due Date]]&lt;TODAY())</f>
        <v>1</v>
      </c>
      <c r="K32" t="s">
        <v>61</v>
      </c>
    </row>
    <row r="33" spans="6:10" x14ac:dyDescent="0.4">
      <c r="F33" s="2"/>
      <c r="G33" s="2"/>
      <c r="H33" s="7"/>
      <c r="J33" s="1"/>
    </row>
  </sheetData>
  <conditionalFormatting sqref="I18:I33">
    <cfRule type="cellIs" dxfId="3" priority="1" operator="equal">
      <formula>"Not Started"</formula>
    </cfRule>
    <cfRule type="cellIs" dxfId="2" priority="2" operator="equal">
      <formula>"In Progress"</formula>
    </cfRule>
    <cfRule type="cellIs" dxfId="1" priority="3" operator="equal">
      <formula>"Completed"</formula>
    </cfRule>
  </conditionalFormatting>
  <conditionalFormatting sqref="J18:J33">
    <cfRule type="cellIs" dxfId="0" priority="4" operator="equal">
      <formula>TRUE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72" zoomScaleNormal="115" workbookViewId="0">
      <selection activeCell="Q16" sqref="Q16"/>
    </sheetView>
  </sheetViews>
  <sheetFormatPr defaultColWidth="11.1640625" defaultRowHeight="16" x14ac:dyDescent="0.4"/>
  <cols>
    <col min="1" max="1" width="3.33203125" customWidth="1"/>
    <col min="3" max="3" width="6.1640625" bestFit="1" customWidth="1"/>
    <col min="4" max="4" width="7.83203125" customWidth="1"/>
    <col min="5" max="5" width="14.1640625" bestFit="1" customWidth="1"/>
    <col min="6" max="6" width="6.1640625" style="1" bestFit="1" customWidth="1"/>
    <col min="7" max="7" width="7.83203125" customWidth="1"/>
    <col min="9" max="9" width="6.1640625" bestFit="1" customWidth="1"/>
    <col min="10" max="10" width="7.83203125" customWidth="1"/>
    <col min="11" max="11" width="8" bestFit="1" customWidth="1"/>
  </cols>
  <sheetData>
    <row r="2" spans="2:11" x14ac:dyDescent="0.4">
      <c r="B2" s="5" t="s">
        <v>4</v>
      </c>
      <c r="C2" s="5" t="s">
        <v>68</v>
      </c>
      <c r="E2" s="5" t="s">
        <v>10</v>
      </c>
      <c r="F2" s="5" t="s">
        <v>68</v>
      </c>
      <c r="H2" s="5" t="s">
        <v>70</v>
      </c>
      <c r="I2" s="5" t="s">
        <v>68</v>
      </c>
      <c r="K2" s="5" t="s">
        <v>12</v>
      </c>
    </row>
    <row r="3" spans="2:11" x14ac:dyDescent="0.4">
      <c r="B3" t="s">
        <v>16</v>
      </c>
      <c r="C3" s="1">
        <f>COUNTIF(Table1[Status],'Support Sheet'!B3)</f>
        <v>8</v>
      </c>
      <c r="E3" t="s">
        <v>15</v>
      </c>
      <c r="F3" s="1">
        <f>COUNTIF(Table1[Task Owner],'Support Sheet'!E3)</f>
        <v>6</v>
      </c>
      <c r="H3" t="s">
        <v>65</v>
      </c>
      <c r="I3" s="1">
        <f>COUNTIF(Table1[Team],'Support Sheet'!H3)</f>
        <v>4</v>
      </c>
      <c r="K3" s="1">
        <f ca="1">COUNTIF(Table1[Overdue?],TRUE)</f>
        <v>7</v>
      </c>
    </row>
    <row r="4" spans="2:11" x14ac:dyDescent="0.4">
      <c r="B4" t="s">
        <v>8</v>
      </c>
      <c r="C4" s="1">
        <f>COUNTIF(Table1[Status],'Support Sheet'!B4)</f>
        <v>5</v>
      </c>
      <c r="E4" t="s">
        <v>19</v>
      </c>
      <c r="F4" s="1">
        <f>COUNTIF(Table1[Task Owner],'Support Sheet'!E4)</f>
        <v>3</v>
      </c>
      <c r="H4" t="s">
        <v>57</v>
      </c>
      <c r="I4" s="1">
        <f>COUNTIF(Table1[Team],'Support Sheet'!H4)</f>
        <v>6</v>
      </c>
    </row>
    <row r="5" spans="2:11" x14ac:dyDescent="0.4">
      <c r="B5" t="s">
        <v>9</v>
      </c>
      <c r="C5" s="1">
        <f>COUNTIF(Table1[Status],'Support Sheet'!B5)</f>
        <v>2</v>
      </c>
      <c r="E5" t="s">
        <v>26</v>
      </c>
      <c r="F5" s="1">
        <f>COUNTIF(Table1[Task Owner],'Support Sheet'!E5)</f>
        <v>1</v>
      </c>
      <c r="H5" t="s">
        <v>66</v>
      </c>
      <c r="I5" s="1">
        <f>COUNTIF(Table1[Team],'Support Sheet'!H5)</f>
        <v>4</v>
      </c>
    </row>
    <row r="6" spans="2:11" x14ac:dyDescent="0.4">
      <c r="B6" t="s">
        <v>69</v>
      </c>
      <c r="C6" s="1">
        <f>SUM(C3:C5)</f>
        <v>15</v>
      </c>
      <c r="E6" t="s">
        <v>30</v>
      </c>
      <c r="F6" s="1">
        <f>COUNTIF(Table1[Task Owner],'Support Sheet'!E6)</f>
        <v>2</v>
      </c>
      <c r="H6" t="s">
        <v>40</v>
      </c>
      <c r="I6" s="1">
        <f>COUNTIF(Table1[Team],'Support Sheet'!H6)</f>
        <v>1</v>
      </c>
    </row>
    <row r="7" spans="2:11" x14ac:dyDescent="0.4">
      <c r="E7" t="s">
        <v>34</v>
      </c>
      <c r="F7" s="1">
        <f>COUNTIF(Table1[Task Owner],'Support Sheet'!E7)</f>
        <v>3</v>
      </c>
      <c r="I7" s="1"/>
    </row>
    <row r="10" spans="2:11" x14ac:dyDescent="0.4"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Pronob</cp:lastModifiedBy>
  <dcterms:created xsi:type="dcterms:W3CDTF">2025-09-19T00:51:58Z</dcterms:created>
  <dcterms:modified xsi:type="dcterms:W3CDTF">2026-06-10T14:12:44Z</dcterms:modified>
</cp:coreProperties>
</file>